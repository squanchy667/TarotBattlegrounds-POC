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ot_minions_list" sheetId="1" r:id="rId5"/>
    <sheet state="visible" name="Faction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tc={13aed306-21be-4a6a-a20c-f7ebf8bd1c43}</author>
    <author>tc={437ca6a2-6917-46a2-8bf2-7522a8bbf8e2}</author>
  </authors>
  <commentList>
    <comment authorId="0" xr:uid="{13aed306-21be-4a6a-a20c-f7ebf8bd1c43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Aura: Attack is doubled when defending
</t>
      </text>
    </comment>
    <comment authorId="1" xr:uid="{437ca6a2-6917-46a2-8bf2-7522a8bbf8e2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its attack kills an enemy, restore health and attack again
</t>
      </text>
    </comment>
  </commentList>
</comments>
</file>

<file path=xl/sharedStrings.xml><?xml version="1.0" encoding="utf-8"?>
<sst xmlns="http://schemas.openxmlformats.org/spreadsheetml/2006/main" count="272" uniqueCount="223">
  <si>
    <t>Tribe Desscription</t>
  </si>
  <si>
    <t>Name</t>
  </si>
  <si>
    <t>Faction</t>
  </si>
  <si>
    <t>Tier</t>
  </si>
  <si>
    <t>Attack</t>
  </si>
  <si>
    <t>Health</t>
  </si>
  <si>
    <t>Ability</t>
  </si>
  <si>
    <t>prompt</t>
  </si>
  <si>
    <t>Column 1</t>
  </si>
  <si>
    <t>Column 2</t>
  </si>
  <si>
    <t xml:space="preserve">Wands (Fire): Symbolizing creativity and passion, this faction could feature heroes like “The Innovator” or “The Visionary,” embodying artistic and entrepreneurial spirits.                                                                                                                                                                                                        </t>
  </si>
  <si>
    <t>Spark of Inspiration</t>
  </si>
  <si>
    <t>Wands</t>
  </si>
  <si>
    <t>Buffs adjacent minions’ attack</t>
  </si>
  <si>
    <t>Spark of Inspiration: A ethereal spark of light manifesting as a small, glowing elemental figure with fiery tendrils, surrounded by swirling creative energy and abstract symbols of ideas like lightbulbs and flames. Tarot card style, vibrant reds and oranges, mystical fantasy art.</t>
  </si>
  <si>
    <t xml:space="preserve">Aura: </t>
  </si>
  <si>
    <t>Impulsive Apprentice</t>
  </si>
  <si>
    <t>Quick attacker, low HP</t>
  </si>
  <si>
    <t>Impulsive Apprentice: A young wizard apprentice with wild red hair, wearing a simple robe singed at the edges, holding a flaming wand impulsively pointed forward, expression of eager excitement. Tarot-inspired illustration, dynamic pose, warm fire tones.</t>
  </si>
  <si>
    <t>Entry (Battlecry)</t>
  </si>
  <si>
    <t>Flame Dancer</t>
  </si>
  <si>
    <t>Grants +1/+1 to other Wands minions</t>
  </si>
  <si>
    <t>Flame Dancer: A graceful dancer enveloped in flowing flames that form elegant patterns, with lithe body adorned in fiery silks, performing a ritual dance. Mystical tarot aesthetic, orange and yellow hues, ethereal and passionate.</t>
  </si>
  <si>
    <t>Revive (Reborn)</t>
  </si>
  <si>
    <t>Torch Bearer</t>
  </si>
  <si>
    <t>Gains power each round survived</t>
  </si>
  <si>
    <t>Torch Bearer: A sturdy figure carrying a large torch that grows brighter over time, armored in leather with flame motifs, determined expression as if enduring battles. Fantasy tarot card, evolving light effects, earthy reds.</t>
  </si>
  <si>
    <t>https://cdn.midjourney.com/e3e1f188-9df8-4b52-80ec-7594c708747e/0_1.png</t>
  </si>
  <si>
    <t>Blazing Knight</t>
  </si>
  <si>
    <t>Gains attack after killing a minion</t>
  </si>
  <si>
    <t>Blazing Knight: A knight in blazing armor wielding a sword of fire, charging forward with increased ferocity after victories, helmet visor glowing with inner fire. Epic tarot style, intense red and gold palette.</t>
  </si>
  <si>
    <t xml:space="preserve">When attacks </t>
  </si>
  <si>
    <t>Fiery Alchemist</t>
  </si>
  <si>
    <t>Combines two weaker minions into a stronger one</t>
  </si>
  <si>
    <t>Fiery Alchemist: An alchemist at a cauldron merging essences, surrounded by potions and flames, transforming weak forms into strong ones, wise yet intense gaze. Alchemical symbols, tarot fantasy art, warm alchemical glow.</t>
  </si>
  <si>
    <t>https://cdn.midjourney.com/82b36c6f-3a45-4e44-b293-155f64cba860/0_3.png</t>
  </si>
  <si>
    <t>Phoenix Hatchling</t>
  </si>
  <si>
    <t>Revives once with reduced stats</t>
  </si>
  <si>
    <t>Phoenix Hatchling: A baby phoenix emerging from ashes, feathers in shades of red and orange, with a rebirth aura, small but resilient. Mythical tarot illustration, symbolic revival theme.</t>
  </si>
  <si>
    <t>https://cdn.midjourney.com/b8dbb314-5203-45e9-a2d4-02cdb17de5d1/0_1.png</t>
  </si>
  <si>
    <t>The Magician's Disciple</t>
  </si>
  <si>
    <t>Aura: +1/+1 to all allies</t>
  </si>
  <si>
    <t>The Magician's Disciple: A disciple mimicking a magician's pose, channeling temporary magic buffs to allies, holding cards and wands, youthful and focused. Classic tarot Magician influence, magical energy bursts.</t>
  </si>
  <si>
    <t>https://cdn.midjourney.com/97634ccd-38b6-4150-8c26-83857394b9da/0_0.png</t>
  </si>
  <si>
    <t>Volcanic Sage</t>
  </si>
  <si>
    <t>AoE damage at combat start</t>
  </si>
  <si>
    <t>Volcanic Sage: A wise sage standing atop a volcano, unleashing area fire blasts, robes flowing like lava, ancient staff in hand. Dramatic tarot art, volcanic reds and blacks.</t>
  </si>
  <si>
    <t>https://cdn.midjourney.com/a3124900-fdc4-4441-9ae4-2001e9ada366/0_3.png</t>
  </si>
  <si>
    <t>https://cdn.midjourney.com/259a06b9-8737-44dd-9f3f-40f6220bba8f/0_1.png</t>
  </si>
  <si>
    <t>Solar Warrior</t>
  </si>
  <si>
    <t>Buffs during daytime rounds</t>
  </si>
  <si>
    <t>Solar Warrior: A warrior bathed in sunlight, armor gleaming with solar flares, powering up during "day" themes, heroic stance. Radiant tarot style, bright yellows and oranges.</t>
  </si>
  <si>
    <t>https://cdn.midjourney.com/a72c37ad-4fa4-431a-b973-4df40aa8d70c/0_1.png</t>
  </si>
  <si>
    <t>https://cdn.midjourney.com/0beac6b3-c3b3-4c45-8a1e-cbda105e56bd/0_0.png</t>
  </si>
  <si>
    <t>Dragon of Creation</t>
  </si>
  <si>
    <t>Entry: +3/+3 to all Wands</t>
  </si>
  <si>
    <t>Dragon of Creation: A majestic dragon of fire and creation, wings spread wide, buffing allies with creative energy, scales in fiery patterns. Grand tarot fantasy, dominant red tones.</t>
  </si>
  <si>
    <t>https://cdn.midjourney.com/549bcef2-8cfd-4b9b-9392-4939fbde99bf/0_1.png</t>
  </si>
  <si>
    <t>Ace of Wands</t>
  </si>
  <si>
    <t>Multiplies damage of adjacent allies significantly</t>
  </si>
  <si>
    <t>Ace of Wands: The iconic Ace of Wands as a powerful staff bursting with multiplicative flames, surrounded by amplified allies, symbolic of growth and power. Traditional tarot design with enhanced drama.</t>
  </si>
  <si>
    <t>https://cdn.midjourney.com/190bae85-5aa2-46d4-a17e-ace2a58f287a/0_2.png</t>
  </si>
  <si>
    <t>Cups (Water): Representing emotions and intuition, heroes such as “The Empath” or “The Mystic” could lead this faction, focusing on healing and psychic abilities.</t>
  </si>
  <si>
    <t>Minor Healer</t>
  </si>
  <si>
    <t>Cups</t>
  </si>
  <si>
    <t>Small HP regeneration each round</t>
  </si>
  <si>
    <t>Minor Healer: A gentle healer with a small cup overflowing with restorative water, simple robes, aura of minor regeneration, serene expression. Tarot Cups suit style, soft blues and greens.</t>
  </si>
  <si>
    <t>https://cdn.midjourney.com/c020d9c8-5d46-46b7-80a9-38c68fb6ad3b/0_0.png</t>
  </si>
  <si>
    <t>Intuitive Novice</t>
  </si>
  <si>
    <t>Predicts and reduces incoming damage</t>
  </si>
  <si>
    <t>Intuitive Novice: A novice psychic with intuitive eyes, holding a water shield that protects against threads threats, subtle water waves reducing damage. Mystical tarot art, intuitive symbols like eyes and waves.</t>
  </si>
  <si>
    <t>https://cdn.midjourney.com/79df7992-bdf7-429d-8aa0-45000a17b5fb/0_3.png</t>
  </si>
  <si>
    <t>Soothing Siren</t>
  </si>
  <si>
    <t>Prevents enemy attacks briefly</t>
  </si>
  <si>
    <t>Soothing Siren: A siren with flowing hair like water, singing a calming song to prevent attacks, surrounded by peaceful waves. Enchanting tarot illustration, tranquil blue tones.</t>
  </si>
  <si>
    <t>https://cdn.midjourney.com/c71583f2-2bd9-4af9-a047-636fd2f241b0/0_1.png</t>
  </si>
  <si>
    <t>Peaceful Poet</t>
  </si>
  <si>
    <t>Buffs ally defense when another minion dies</t>
  </si>
  <si>
    <t>Peaceful Poet: A poet with a quill and cup, channeling emotions into defensive buffs upon losses, melancholic yet hopeful pose. Poetic tarot fantasy, emotional depth in colors.</t>
  </si>
  <si>
    <t>Moonlit Priestess</t>
  </si>
  <si>
    <t>Heals entire party when it attacks</t>
  </si>
  <si>
    <t>Moonlit Priestess: A priestess under moonlight, cup raised to heal the party, ethereal gown with lunar motifs. Nocturnal tarot style, silvery blues.</t>
  </si>
  <si>
    <t>Empathic Guardian</t>
  </si>
  <si>
    <t>Takes damage for adjacent minions</t>
  </si>
  <si>
    <t>Empathic Guardian: A guardian figure absorbing pain, arms outstretched protectively, cup symbolizing shared empathy. Heroic tarot art, protective water aura.</t>
  </si>
  <si>
    <t>Oracle of Cups</t>
  </si>
  <si>
    <t>Divert first hit each round</t>
  </si>
  <si>
    <t>Oracle of Cups: An oracle with a prophetic cup, negating hits with foresight, veiled face and mystical eyes. Divinatory tarot design, deep indigo hues.</t>
  </si>
  <si>
    <t>Mystical Swan</t>
  </si>
  <si>
    <t>Provides healing aura</t>
  </si>
  <si>
    <t>Mystical Swan: A elegant swan transformed into a mystical being, radiating healing aura from its wings, serene lake background. Symbolic tarot illustration, pure whites and blues.</t>
  </si>
  <si>
    <t>Serpent of the Depths</t>
  </si>
  <si>
    <t>Lifesteal shared with allies</t>
  </si>
  <si>
    <t>Serpent of the Depths: A deep-sea serpent coiling around a cup, sharing lifesteal with allies, scales glistening with water. Mythical tarot fantasy, dark oceanic tones.</t>
  </si>
  <si>
    <t>Queen of Cups</t>
  </si>
  <si>
    <t>Massive healing, temporary invulnerability</t>
  </si>
  <si>
    <t>Queen of Cups: The Queen of Cups as a regal figure with massive healing cup, granting invulnerability, compassionate and powerful gaze. Traditional tarot royalty, enriched blues.</t>
  </si>
  <si>
    <t>Ace of Cups</t>
  </si>
  <si>
    <t>Revives a random fallen minion upon attack</t>
  </si>
  <si>
    <t>Ace of Cups: The Ace of Cups overflowing with revival waters, bringing back fallen allies, symbolic of emotional abundance. Iconic tarot style with life-giving energy.</t>
  </si>
  <si>
    <t>Leviathan Spirit</t>
  </si>
  <si>
    <t>Transfers enemy healing effects</t>
  </si>
  <si>
    <t>Leviathan Spirit: A massive leviathan spirit emerging from depths, transferring healing with watery tendrils, imposing and ethereal. Epic tarot art, deep sea blues.</t>
  </si>
  <si>
    <t xml:space="preserve">Swords (Air): Associated with intellect and conflict, this faction’s heroes might include “The Strategist” or “The Duelist,” emphasizing tactical prowess and decisiveness.
</t>
  </si>
  <si>
    <t>Quickblade Scout</t>
  </si>
  <si>
    <t>Swords</t>
  </si>
  <si>
    <t>High speed, low stats</t>
  </si>
  <si>
    <t>Quickblade Scout: A swift scout with a lightweight sword, high-speed pose, minimal armor for agility. Tarot Swords suit, windy grays and silvers.</t>
  </si>
  <si>
    <t>Strategist’s Acolyte</t>
  </si>
  <si>
    <t>Bonus damage vs damaged enemies</t>
  </si>
  <si>
    <t>Strategist’s Acolyte: An acolyte studying tactics, sword poised for bonus strikes on weakened foes, thoughtful expression. Intellectual tarot illustration, strategic symbols.</t>
  </si>
  <si>
    <t>Cunning Duelist</t>
  </si>
  <si>
    <t>Increased damage after taking a hit</t>
  </si>
  <si>
    <t>Cunning Duelist: A duelist in a fencing stance, sword gleaming after hits, cunning smile. Dynamic tarot art, air currents swirling.</t>
  </si>
  <si>
    <t>Blade Juggler</t>
  </si>
  <si>
    <t>Hits multiple random enemies</t>
  </si>
  <si>
    <t>Blade Juggler: A juggler tossing multiple blades, hitting random enemies, circus-like flair with deadly intent. Entertaining yet fierce tarot style.</t>
  </si>
  <si>
    <t>Storm Rider</t>
  </si>
  <si>
    <t>Initial strike ignores defense</t>
  </si>
  <si>
    <t>Storm Rider: A rider on storm winds, sword striking first ignoring defenses, cloak billowing. Tempestuous tarot fantasy, stormy grays.</t>
  </si>
  <si>
    <t>Ruthless Mercenary</t>
  </si>
  <si>
    <t>Gains strength after ally falls</t>
  </si>
  <si>
    <t>Ruthless Mercenary: A mercenary with scarred armor, sword empowered by fallen allies, grim determination. Battle-hardened tarot design.</t>
  </si>
  <si>
    <t>Wind Assassin</t>
  </si>
  <si>
    <t>Chance to instantly remove weak enemies</t>
  </si>
  <si>
    <t>Wind Assassin: An assassin blending with winds, sword ready for instant kills, shadowy and swift. Stealthy tarot illustration, ethereal airs.</t>
  </si>
  <si>
    <t>Master of Blades</t>
  </si>
  <si>
    <t>Gains damage per enemy killed</t>
  </si>
  <si>
    <t>Master of Blades: A master surrounded by floating blades, gaining power per kill, commanding presence. Martial tarot art, metallic silvers.</t>
  </si>
  <si>
    <t>Sky Commander</t>
  </si>
  <si>
    <t>Boosts allies’ Attack</t>
  </si>
  <si>
    <t>Sky Commander: A commander in the skies, boosting initiatives with wind commands, aerial pose. Leadership tarot style, high-altitude blues.</t>
  </si>
  <si>
    <t>Queen of Swords</t>
  </si>
  <si>
    <t>Weakens enemy's strongest minion</t>
  </si>
  <si>
    <t>Queen of Swords: The Queen of Swords weakening foes, sharp gaze and blade, intellectual authority. Traditional tarot, piercing clarity.</t>
  </si>
  <si>
    <t>Ace of Swords</t>
  </si>
  <si>
    <t>Instantly eliminates weakened minions</t>
  </si>
  <si>
    <t>Ace of Swords: The Ace of Swords as a triumphant blade eliminating the weak, symbolic of truth and conquest. Iconic tarot with decisive energy.</t>
  </si>
  <si>
    <t>Storm Dragon</t>
  </si>
  <si>
    <t>AoE ignores defense</t>
  </si>
  <si>
    <t>Storm Dragon: A dragon riding storms, unleashing ignoring-defense blasts, wings like thunderclouds. Majestic tarot fantasy, electric grays.</t>
  </si>
  <si>
    <t xml:space="preserve">Pentacles (Earth): Connected to material aspects and stability, heroes like “The Merchant” or “The Protector” could lead, focusing on wealth accumulation and defense.
</t>
  </si>
  <si>
    <t>Steadfast Farmer</t>
  </si>
  <si>
    <t>Pentacles</t>
  </si>
  <si>
    <t>High HP, minimal attack</t>
  </si>
  <si>
    <t>Steadfast Farmer: A farmer with earthy tools, high resilience, grounded stance amid fields. Tarot Pentacles suit, natural greens and browns.</t>
  </si>
  <si>
    <t>Novice Herbalist</t>
  </si>
  <si>
    <t>Buffs ally defense slightly</t>
  </si>
  <si>
    <t>Novice Herbalist: A herbalist with plants and pentacle, buffing defenses, gentle nurturing pose. Botanical tarot art, healing herbs.</t>
  </si>
  <si>
    <t>Armored Guard</t>
  </si>
  <si>
    <t>Absorbs damage for allies</t>
  </si>
  <si>
    <t>Armored Guard: A guard in heavy armor, absorbing hits, shield with pentacle emblem. Protective tarot illustration, solid earth tones.</t>
  </si>
  <si>
    <t>Young Druid</t>
  </si>
  <si>
    <t>Healing aura and defense boost</t>
  </si>
  <si>
    <t>Young Druid: A druid youth with nature aura, boosting health and defense, surrounded by vines. Mystical tarot style, forest greens.</t>
  </si>
  <si>
    <t>Stone Golem</t>
  </si>
  <si>
    <t>Immune to small damage</t>
  </si>
  <si>
    <t>Stone Golem: A golem of rock, immune to minor harms, massive and unyielding form. Elemental tarot fantasy, rocky textures.</t>
  </si>
  <si>
    <t>Wealthy Trader</t>
  </si>
  <si>
    <t>Generates additional resources</t>
  </si>
  <si>
    <t>Wealthy Trader: A trader with coins and pentacles, generating resources, opulent attire. Prosperous tarot design, golden earth hues.</t>
  </si>
  <si>
    <t>Forest Guardian</t>
  </si>
  <si>
    <t>Shields from AoE attacks</t>
  </si>
  <si>
    <t>Forest Guardian: A guardian of woods, shielding from blasts, tree-like armor. Nature-protecting tarot art, deep greens.</t>
  </si>
  <si>
    <t>King’s Treasurer</t>
  </si>
  <si>
    <t>-1 cost to tier upgrade</t>
  </si>
  <si>
    <t>King’s Treasurer: A treasurer with vaults, enhancing upgrades, regal yet practical. Wealthy tarot illustration, coin motifs.</t>
  </si>
  <si>
    <t>Colossus</t>
  </si>
  <si>
    <t>Splits into smaller minions when defeated</t>
  </si>
  <si>
    <t>Colossus: A giant colossus splitting upon defeat, towering stone body. Imposing tarot style, earthen cracks.</t>
  </si>
  <si>
    <t>Queen of Pentacles</t>
  </si>
  <si>
    <t>Massively boosts allies' health</t>
  </si>
  <si>
    <t>Queen of Pentacles: The Queen of Pentacles boosting health massively, nurturing and abundant. Traditional tarot, fertile earth symbols.</t>
  </si>
  <si>
    <t>Ace of Pentacles</t>
  </si>
  <si>
    <t>Diverted attack for one attack</t>
  </si>
  <si>
    <t>Ace of Pentacles: The Ace of Pentacles granting immunity, blooming with stability. Iconic tarot with protective glow.</t>
  </si>
  <si>
    <t>Ancient World Tree</t>
  </si>
  <si>
    <t>Revives fallen allies periodically</t>
  </si>
  <si>
    <t>Ancient World Tree: A world tree reviving allies, roots and branches alive with life. Eternal tarot fantasy, verdant and ancient.</t>
  </si>
  <si>
    <t>Hybrid and Neutral Cards</t>
  </si>
  <si>
    <t>Alchemist</t>
  </si>
  <si>
    <t>Wands/Pentacles</t>
  </si>
  <si>
    <t>Converts received damage into gold in the next round</t>
  </si>
  <si>
    <t>Alchemist (Wands/Pentacles): An alchemist blending fire and earth, converting damage to gold, cauldron with mixed elements. Hybrid tarot art, alchemical fusion.</t>
  </si>
  <si>
    <t>Battle Cleric</t>
  </si>
  <si>
    <t>Cups/Swords</t>
  </si>
  <si>
    <t>Deals damage and heals allies slightly</t>
  </si>
  <si>
    <t>Battle Cleric (Cups/Swords): A cleric in battle garb, sword and cup for damage and healing, balanced warrior-priest pose. Dual-suit tarot style.</t>
  </si>
  <si>
    <t>Spellsword</t>
  </si>
  <si>
    <t>Swords/Wands</t>
  </si>
  <si>
    <t>Inflicts damage, increases own power each hit</t>
  </si>
  <si>
    <t>Spellsword (Swords/Wands): A spellsword with enchanted blade, fire-infused strikes, growing power. Magical combat tarot illustration.</t>
  </si>
  <si>
    <t>Earth Shaman</t>
  </si>
  <si>
    <t>Pentacles/Cups</t>
  </si>
  <si>
    <t>Defense, regenerates party health</t>
  </si>
  <si>
    <t>Earth Shaman (Pentacles/Cups): A shaman of earth and water, regenerating with natural elements, tribal attire. Harmonious tarot fantasy.</t>
  </si>
  <si>
    <t>Avatar of Balance</t>
  </si>
  <si>
    <t>All Suits</t>
  </si>
  <si>
    <t>Gains power from presence of multiple suits</t>
  </si>
  <si>
    <t>Avatar of Balance (All Suits): An avatar embodying all suits, symbols of wands, cups, swords, pentacles orbiting, balanced and powerful. Ultimate tarot art, multicolored equilibrium.</t>
  </si>
  <si>
    <t>The Fool’s Pet</t>
  </si>
  <si>
    <t>Neutral</t>
  </si>
  <si>
    <t>Simple stats, quick reinforcement</t>
  </si>
  <si>
    <t>The Fool’s Pet (Neutral): A whimsical pet companion to The Fool, simple and quick, playful animal form. Tarot Major Arcana influence, lighthearted.</t>
  </si>
  <si>
    <t>Traveler</t>
  </si>
  <si>
    <t>Random minor buffs to nearby minions</t>
  </si>
  <si>
    <t>Traveler (Neutral): A wandering traveler with random buffs, cloak and staff, adventurous stance. Nomadic tarot design.</t>
  </si>
  <si>
    <t>Wheel of Fortune</t>
  </si>
  <si>
    <t>Random effects (buff/debuff) each round</t>
  </si>
  <si>
    <t>Wheel of Fortune (Neutral): The Wheel of Fortune as a spinning wheel with random effects, symbolic creatures around it. Classic tarot wheel, fateful colors.</t>
  </si>
  <si>
    <t>The Hermit</t>
  </si>
  <si>
    <t>Temporarily removes enemy minions from combat</t>
  </si>
  <si>
    <t>The Hermit (Neutral): The Hermit removing foes temporarily, lantern in hand, solitary wisdom. Traditional tarot, introspective glow.</t>
  </si>
  <si>
    <t>Strength</t>
  </si>
  <si>
    <t>Buffs all adjacent minions significantly</t>
  </si>
  <si>
    <t>Strength (Neutral): Strength buffing allies, figure taming a lion, courageous pose. Iconic tarot Major Arcana.</t>
  </si>
  <si>
    <t>Judgment</t>
  </si>
  <si>
    <t>Revives fallen minions with reduced stats</t>
  </si>
  <si>
    <t>Judgment (Neutral): Judgment reviving with angelic trumpets, rising figures in reduced form. Apocalyptic tarot style, transformative energy.</t>
  </si>
  <si>
    <t>1. Wands (Fire): Symbolizing creativity and passion, this faction could feature heroes like “The Innovator” or “The Visionary,” embodying artistic and entrepreneurial spirits.</t>
  </si>
  <si>
    <t>2. Cups (Water): Representing emotions and intuition, heroes such as “The Empath” or “The Mystic” could lead this faction, focusing on healing and psychic abilities.</t>
  </si>
  <si>
    <t>3. Swords (Air): Associated with intellect and conflict, this faction’s heroes might include “The Strategist” or “The Duelist,” emphasizing tactical prowess and decisiveness.</t>
  </si>
  <si>
    <t>4. Pentacles (Earth): Connected to material aspects and stability, heroes like “The Merchant” or “The Protector” could lead, focusing on wealth accumulation and defense.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</si>
</sst>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rot_minions_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ylon" id="{33f3f869-f178-4053-8f8e-b8aedcbc0581}" providerId="google-sheets"/>
</x18tc:personList>
</file>

<file path=xl/tables/table1.xml><?xml version="1.0" encoding="utf-8"?>
<table xmlns="http://schemas.openxmlformats.org/spreadsheetml/2006/main" ref="A1:J61" displayName="Table1" name="Table1" id="1">
  <tableColumns count="10">
    <tableColumn name="Tribe Desscription" id="1"/>
    <tableColumn name="Name" id="2"/>
    <tableColumn name="Faction" id="3"/>
    <tableColumn name="Tier" id="4"/>
    <tableColumn name="Attack" id="5"/>
    <tableColumn name="Health" id="6"/>
    <tableColumn name="Ability" id="7"/>
    <tableColumn name="prompt" id="8"/>
    <tableColumn name="Column 1" id="9"/>
    <tableColumn name="Column 2" id="10"/>
  </tableColumns>
  <tableStyleInfo name="tarot_minions_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3" dT="2025-08-03T10:44:50.00" personId="{33f3f869-f178-4053-8f8e-b8aedcbc0581}" id="{437ca6a2-6917-46a2-8bf2-7522a8bbf8e2}" done="0">
    <x18tc:text xml:space="preserve">If its attack kills an enemy, restore health and attack again</x18tc:text>
  </x18tc:threadedComment>
  <x18tc:threadedComment ref="G26" dT="2025-08-03T10:46:51.00" personId="{33f3f869-f178-4053-8f8e-b8aedcbc0581}" id="{13aed306-21be-4a6a-a20c-f7ebf8bd1c43}" done="0">
    <x18tc:text xml:space="preserve">Aura: Attack is doubled when defending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cdn.midjourney.com/0beac6b3-c3b3-4c45-8a1e-cbda105e56bd/0_0.png" TargetMode="External"/><Relationship Id="rId10" Type="http://schemas.openxmlformats.org/officeDocument/2006/relationships/hyperlink" Target="https://cdn.midjourney.com/a72c37ad-4fa4-431a-b973-4df40aa8d70c/0_1.png" TargetMode="External"/><Relationship Id="rId13" Type="http://schemas.openxmlformats.org/officeDocument/2006/relationships/hyperlink" Target="https://cdn.midjourney.com/190bae85-5aa2-46d4-a17e-ace2a58f287a/0_2.png" TargetMode="External"/><Relationship Id="rId12" Type="http://schemas.openxmlformats.org/officeDocument/2006/relationships/hyperlink" Target="https://cdn.midjourney.com/549bcef2-8cfd-4b9b-9392-4939fbde99bf/0_1.p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dn.midjourney.com/e3e1f188-9df8-4b52-80ec-7594c708747e/0_1.png" TargetMode="External"/><Relationship Id="rId9" Type="http://schemas.openxmlformats.org/officeDocument/2006/relationships/hyperlink" Target="https://cdn.midjourney.com/259a06b9-8737-44dd-9f3f-40f6220bba8f/0_1.png" TargetMode="External"/><Relationship Id="rId15" Type="http://schemas.openxmlformats.org/officeDocument/2006/relationships/hyperlink" Target="https://cdn.midjourney.com/79df7992-bdf7-429d-8aa0-45000a17b5fb/0_3.png" TargetMode="External"/><Relationship Id="rId14" Type="http://schemas.openxmlformats.org/officeDocument/2006/relationships/hyperlink" Target="https://cdn.midjourney.com/c020d9c8-5d46-46b7-80a9-38c68fb6ad3b/0_0.p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dn.midjourney.com/c71583f2-2bd9-4af9-a047-636fd2f241b0/0_1.png" TargetMode="External"/><Relationship Id="rId5" Type="http://schemas.openxmlformats.org/officeDocument/2006/relationships/hyperlink" Target="https://cdn.midjourney.com/82b36c6f-3a45-4e44-b293-155f64cba860/0_3.png" TargetMode="External"/><Relationship Id="rId6" Type="http://schemas.openxmlformats.org/officeDocument/2006/relationships/hyperlink" Target="https://cdn.midjourney.com/b8dbb314-5203-45e9-a2d4-02cdb17de5d1/0_1.png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cdn.midjourney.com/97634ccd-38b6-4150-8c26-83857394b9da/0_0.png" TargetMode="External"/><Relationship Id="rId8" Type="http://schemas.openxmlformats.org/officeDocument/2006/relationships/hyperlink" Target="https://cdn.midjourney.com/a3124900-fdc4-4441-9ae4-2001e9ada366/0_3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22.13"/>
    <col customWidth="1" min="3" max="3" width="14.25"/>
    <col customWidth="1" min="5" max="5" width="13.5"/>
    <col customWidth="1" min="6" max="6" width="13.63"/>
    <col customWidth="1" min="7" max="7" width="39.25"/>
    <col customWidth="1" min="8" max="8" width="133.5"/>
    <col customWidth="1" min="9" max="9" width="18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/>
      <c r="B2" s="5"/>
      <c r="C2" s="6"/>
      <c r="D2" s="7"/>
      <c r="E2" s="7"/>
      <c r="F2" s="7"/>
      <c r="G2" s="5"/>
      <c r="H2" s="8"/>
      <c r="I2" s="8"/>
      <c r="J2" s="8"/>
    </row>
    <row r="3" ht="22.5" customHeight="1">
      <c r="A3" s="4" t="s">
        <v>10</v>
      </c>
      <c r="B3" s="5" t="s">
        <v>11</v>
      </c>
      <c r="C3" s="9" t="s">
        <v>12</v>
      </c>
      <c r="D3" s="7">
        <v>1.0</v>
      </c>
      <c r="E3" s="7">
        <v>1.0</v>
      </c>
      <c r="F3" s="7">
        <v>2.0</v>
      </c>
      <c r="G3" s="5" t="s">
        <v>13</v>
      </c>
      <c r="H3" s="10" t="s">
        <v>14</v>
      </c>
      <c r="I3" s="11"/>
      <c r="J3" s="12"/>
      <c r="K3" s="13" t="s">
        <v>15</v>
      </c>
    </row>
    <row r="4" ht="22.5" customHeight="1">
      <c r="A4" s="4"/>
      <c r="B4" s="5" t="s">
        <v>16</v>
      </c>
      <c r="C4" s="9" t="s">
        <v>12</v>
      </c>
      <c r="D4" s="7">
        <v>1.0</v>
      </c>
      <c r="E4" s="7">
        <v>2.0</v>
      </c>
      <c r="F4" s="7">
        <v>1.0</v>
      </c>
      <c r="G4" s="5" t="s">
        <v>17</v>
      </c>
      <c r="H4" s="10" t="s">
        <v>18</v>
      </c>
      <c r="I4" s="11"/>
      <c r="J4" s="12"/>
      <c r="K4" s="13" t="s">
        <v>19</v>
      </c>
    </row>
    <row r="5" ht="77.25" customHeight="1">
      <c r="A5" s="4"/>
      <c r="B5" s="5" t="s">
        <v>20</v>
      </c>
      <c r="C5" s="9" t="s">
        <v>12</v>
      </c>
      <c r="D5" s="7">
        <v>2.0</v>
      </c>
      <c r="E5" s="7">
        <v>3.0</v>
      </c>
      <c r="F5" s="7">
        <v>3.0</v>
      </c>
      <c r="G5" s="5" t="s">
        <v>21</v>
      </c>
      <c r="H5" s="10" t="s">
        <v>22</v>
      </c>
      <c r="I5" s="11" t="str">
        <f>IMAGE("https://cdn.midjourney.com/742ce527-218e-49bb-8d00-4475c1102cd0/0_0.png")</f>
        <v/>
      </c>
      <c r="J5" s="12"/>
      <c r="K5" s="13" t="s">
        <v>23</v>
      </c>
    </row>
    <row r="6" ht="75.75" customHeight="1">
      <c r="A6" s="4"/>
      <c r="B6" s="5" t="s">
        <v>24</v>
      </c>
      <c r="C6" s="9" t="s">
        <v>12</v>
      </c>
      <c r="D6" s="7">
        <v>2.0</v>
      </c>
      <c r="E6" s="7">
        <v>2.0</v>
      </c>
      <c r="F6" s="7">
        <v>4.0</v>
      </c>
      <c r="G6" s="5" t="s">
        <v>25</v>
      </c>
      <c r="H6" s="10" t="s">
        <v>26</v>
      </c>
      <c r="I6" s="11" t="str">
        <f>image(K6)</f>
        <v/>
      </c>
      <c r="J6" s="12"/>
      <c r="K6" s="14" t="s">
        <v>27</v>
      </c>
    </row>
    <row r="7" ht="89.25" customHeight="1">
      <c r="A7" s="4"/>
      <c r="B7" s="5" t="s">
        <v>28</v>
      </c>
      <c r="C7" s="9" t="s">
        <v>12</v>
      </c>
      <c r="D7" s="7">
        <v>3.0</v>
      </c>
      <c r="E7" s="7">
        <v>4.0</v>
      </c>
      <c r="F7" s="7">
        <v>3.0</v>
      </c>
      <c r="G7" s="5" t="s">
        <v>29</v>
      </c>
      <c r="H7" s="10" t="s">
        <v>30</v>
      </c>
      <c r="I7" s="11" t="str">
        <f>image("https://cdn.midjourney.com/5f38d265-7e63-4151-9b30-c2c32230145a/0_1.png")</f>
        <v/>
      </c>
      <c r="J7" s="12"/>
      <c r="K7" s="13" t="s">
        <v>31</v>
      </c>
    </row>
    <row r="8" ht="75.0" customHeight="1">
      <c r="A8" s="4"/>
      <c r="B8" s="5" t="s">
        <v>32</v>
      </c>
      <c r="C8" s="9" t="s">
        <v>12</v>
      </c>
      <c r="D8" s="7">
        <v>3.0</v>
      </c>
      <c r="E8" s="7">
        <v>3.0</v>
      </c>
      <c r="F8" s="7">
        <v>5.0</v>
      </c>
      <c r="G8" s="5" t="s">
        <v>33</v>
      </c>
      <c r="H8" s="10" t="s">
        <v>34</v>
      </c>
      <c r="I8" s="11" t="str">
        <f t="shared" ref="I8:I17" si="1">image(K8)</f>
        <v/>
      </c>
      <c r="J8" s="12"/>
      <c r="K8" s="15" t="s">
        <v>35</v>
      </c>
    </row>
    <row r="9" ht="84.75" customHeight="1">
      <c r="A9" s="4"/>
      <c r="B9" s="5" t="s">
        <v>36</v>
      </c>
      <c r="C9" s="9" t="s">
        <v>12</v>
      </c>
      <c r="D9" s="7">
        <v>4.0</v>
      </c>
      <c r="E9" s="7">
        <v>5.0</v>
      </c>
      <c r="F9" s="7">
        <v>5.0</v>
      </c>
      <c r="G9" s="5" t="s">
        <v>37</v>
      </c>
      <c r="H9" s="10" t="s">
        <v>38</v>
      </c>
      <c r="I9" s="11" t="str">
        <f t="shared" si="1"/>
        <v/>
      </c>
      <c r="J9" s="12"/>
      <c r="K9" s="14" t="s">
        <v>39</v>
      </c>
    </row>
    <row r="10" ht="99.75" customHeight="1">
      <c r="A10" s="4"/>
      <c r="B10" s="5" t="s">
        <v>40</v>
      </c>
      <c r="C10" s="9" t="s">
        <v>12</v>
      </c>
      <c r="D10" s="7">
        <v>4.0</v>
      </c>
      <c r="E10" s="7">
        <v>4.0</v>
      </c>
      <c r="F10" s="7">
        <v>6.0</v>
      </c>
      <c r="G10" s="5" t="s">
        <v>41</v>
      </c>
      <c r="H10" s="10" t="s">
        <v>42</v>
      </c>
      <c r="I10" s="11" t="str">
        <f t="shared" si="1"/>
        <v/>
      </c>
      <c r="J10" s="12"/>
      <c r="K10" s="15" t="s">
        <v>43</v>
      </c>
    </row>
    <row r="11" ht="84.0" customHeight="1">
      <c r="A11" s="4"/>
      <c r="B11" s="5" t="s">
        <v>44</v>
      </c>
      <c r="C11" s="9" t="s">
        <v>12</v>
      </c>
      <c r="D11" s="7">
        <v>5.0</v>
      </c>
      <c r="E11" s="7">
        <v>7.0</v>
      </c>
      <c r="F11" s="7">
        <v>5.0</v>
      </c>
      <c r="G11" s="5" t="s">
        <v>45</v>
      </c>
      <c r="H11" s="10" t="s">
        <v>46</v>
      </c>
      <c r="I11" s="11" t="str">
        <f t="shared" si="1"/>
        <v/>
      </c>
      <c r="J11" s="11" t="str">
        <f t="shared" ref="J11:J12" si="2">image(L11)</f>
        <v/>
      </c>
      <c r="K11" s="14" t="s">
        <v>47</v>
      </c>
      <c r="L11" s="15" t="s">
        <v>48</v>
      </c>
    </row>
    <row r="12" ht="93.0" customHeight="1">
      <c r="A12" s="4"/>
      <c r="B12" s="5" t="s">
        <v>49</v>
      </c>
      <c r="C12" s="9" t="s">
        <v>12</v>
      </c>
      <c r="D12" s="7">
        <v>5.0</v>
      </c>
      <c r="E12" s="7">
        <v>6.0</v>
      </c>
      <c r="F12" s="7">
        <v>7.0</v>
      </c>
      <c r="G12" s="5" t="s">
        <v>50</v>
      </c>
      <c r="H12" s="10" t="s">
        <v>51</v>
      </c>
      <c r="I12" s="11" t="str">
        <f t="shared" si="1"/>
        <v/>
      </c>
      <c r="J12" s="11" t="str">
        <f t="shared" si="2"/>
        <v/>
      </c>
      <c r="K12" s="14" t="s">
        <v>52</v>
      </c>
      <c r="L12" s="14" t="s">
        <v>53</v>
      </c>
    </row>
    <row r="13" ht="85.5" customHeight="1">
      <c r="A13" s="4"/>
      <c r="B13" s="5" t="s">
        <v>54</v>
      </c>
      <c r="C13" s="9" t="s">
        <v>12</v>
      </c>
      <c r="D13" s="7">
        <v>6.0</v>
      </c>
      <c r="E13" s="7">
        <v>8.0</v>
      </c>
      <c r="F13" s="7">
        <v>8.0</v>
      </c>
      <c r="G13" s="5" t="s">
        <v>55</v>
      </c>
      <c r="H13" s="10" t="s">
        <v>56</v>
      </c>
      <c r="I13" s="11" t="str">
        <f t="shared" si="1"/>
        <v/>
      </c>
      <c r="J13" s="11"/>
      <c r="K13" s="14" t="s">
        <v>57</v>
      </c>
    </row>
    <row r="14" ht="57.0" customHeight="1">
      <c r="A14" s="4"/>
      <c r="B14" s="5" t="s">
        <v>58</v>
      </c>
      <c r="C14" s="9" t="s">
        <v>12</v>
      </c>
      <c r="D14" s="7">
        <v>6.0</v>
      </c>
      <c r="E14" s="7">
        <v>10.0</v>
      </c>
      <c r="F14" s="7">
        <v>7.0</v>
      </c>
      <c r="G14" s="5" t="s">
        <v>59</v>
      </c>
      <c r="H14" s="10" t="s">
        <v>60</v>
      </c>
      <c r="I14" s="11" t="str">
        <f t="shared" si="1"/>
        <v/>
      </c>
      <c r="J14" s="11"/>
      <c r="K14" s="14" t="s">
        <v>61</v>
      </c>
    </row>
    <row r="15" ht="22.5" customHeight="1">
      <c r="A15" s="4" t="s">
        <v>62</v>
      </c>
      <c r="B15" s="5" t="s">
        <v>63</v>
      </c>
      <c r="C15" s="9" t="s">
        <v>64</v>
      </c>
      <c r="D15" s="7">
        <v>1.0</v>
      </c>
      <c r="E15" s="7">
        <v>1.0</v>
      </c>
      <c r="F15" s="7">
        <v>3.0</v>
      </c>
      <c r="G15" s="5" t="s">
        <v>65</v>
      </c>
      <c r="H15" s="10" t="s">
        <v>66</v>
      </c>
      <c r="I15" s="11" t="str">
        <f t="shared" si="1"/>
        <v/>
      </c>
      <c r="J15" s="11"/>
      <c r="K15" s="15" t="s">
        <v>67</v>
      </c>
    </row>
    <row r="16" ht="22.5" customHeight="1">
      <c r="A16" s="4"/>
      <c r="B16" s="5" t="s">
        <v>68</v>
      </c>
      <c r="C16" s="9" t="s">
        <v>64</v>
      </c>
      <c r="D16" s="7">
        <v>1.0</v>
      </c>
      <c r="E16" s="7">
        <v>2.0</v>
      </c>
      <c r="F16" s="7">
        <v>2.0</v>
      </c>
      <c r="G16" s="5" t="s">
        <v>69</v>
      </c>
      <c r="H16" s="10" t="s">
        <v>70</v>
      </c>
      <c r="I16" s="11" t="str">
        <f t="shared" si="1"/>
        <v/>
      </c>
      <c r="J16" s="11"/>
      <c r="K16" s="14" t="s">
        <v>71</v>
      </c>
    </row>
    <row r="17" ht="71.25" customHeight="1">
      <c r="A17" s="4"/>
      <c r="B17" s="5" t="s">
        <v>72</v>
      </c>
      <c r="C17" s="9" t="s">
        <v>64</v>
      </c>
      <c r="D17" s="7">
        <v>2.0</v>
      </c>
      <c r="E17" s="7">
        <v>2.0</v>
      </c>
      <c r="F17" s="7">
        <v>4.0</v>
      </c>
      <c r="G17" s="5" t="s">
        <v>73</v>
      </c>
      <c r="H17" s="10" t="s">
        <v>74</v>
      </c>
      <c r="I17" s="11" t="str">
        <f t="shared" si="1"/>
        <v/>
      </c>
      <c r="J17" s="11"/>
      <c r="K17" s="14" t="s">
        <v>75</v>
      </c>
    </row>
    <row r="18" ht="22.5" customHeight="1">
      <c r="A18" s="4"/>
      <c r="B18" s="5" t="s">
        <v>76</v>
      </c>
      <c r="C18" s="9" t="s">
        <v>64</v>
      </c>
      <c r="D18" s="7">
        <v>2.0</v>
      </c>
      <c r="E18" s="7">
        <v>3.0</v>
      </c>
      <c r="F18" s="7">
        <v>3.0</v>
      </c>
      <c r="G18" s="5" t="s">
        <v>77</v>
      </c>
      <c r="H18" s="10" t="s">
        <v>78</v>
      </c>
      <c r="I18" s="11"/>
      <c r="J18" s="11"/>
    </row>
    <row r="19" ht="22.5" customHeight="1">
      <c r="A19" s="4"/>
      <c r="B19" s="5" t="s">
        <v>79</v>
      </c>
      <c r="C19" s="9" t="s">
        <v>64</v>
      </c>
      <c r="D19" s="7">
        <v>3.0</v>
      </c>
      <c r="E19" s="7">
        <v>3.0</v>
      </c>
      <c r="F19" s="7">
        <v>6.0</v>
      </c>
      <c r="G19" s="5" t="s">
        <v>80</v>
      </c>
      <c r="H19" s="10" t="s">
        <v>81</v>
      </c>
      <c r="I19" s="11"/>
      <c r="J19" s="11"/>
    </row>
    <row r="20" ht="22.5" customHeight="1">
      <c r="A20" s="4"/>
      <c r="B20" s="5" t="s">
        <v>82</v>
      </c>
      <c r="C20" s="9" t="s">
        <v>64</v>
      </c>
      <c r="D20" s="7">
        <v>3.0</v>
      </c>
      <c r="E20" s="7">
        <v>4.0</v>
      </c>
      <c r="F20" s="7">
        <v>5.0</v>
      </c>
      <c r="G20" s="5" t="s">
        <v>83</v>
      </c>
      <c r="H20" s="10" t="s">
        <v>84</v>
      </c>
      <c r="I20" s="11"/>
      <c r="J20" s="11"/>
    </row>
    <row r="21" ht="22.5" customHeight="1">
      <c r="A21" s="4"/>
      <c r="B21" s="5" t="s">
        <v>85</v>
      </c>
      <c r="C21" s="9" t="s">
        <v>64</v>
      </c>
      <c r="D21" s="7">
        <v>4.0</v>
      </c>
      <c r="E21" s="7">
        <v>4.0</v>
      </c>
      <c r="F21" s="7">
        <v>7.0</v>
      </c>
      <c r="G21" s="5" t="s">
        <v>86</v>
      </c>
      <c r="H21" s="10" t="s">
        <v>87</v>
      </c>
      <c r="I21" s="11"/>
      <c r="J21" s="11"/>
    </row>
    <row r="22" ht="109.5" customHeight="1">
      <c r="A22" s="4"/>
      <c r="B22" s="5" t="s">
        <v>88</v>
      </c>
      <c r="C22" s="9" t="s">
        <v>64</v>
      </c>
      <c r="D22" s="7">
        <v>4.0</v>
      </c>
      <c r="E22" s="7">
        <v>3.0</v>
      </c>
      <c r="F22" s="7">
        <v>8.0</v>
      </c>
      <c r="G22" s="5" t="s">
        <v>89</v>
      </c>
      <c r="H22" s="10" t="s">
        <v>90</v>
      </c>
      <c r="I22" s="11" t="str">
        <f>image("https://cdn.midjourney.com/2ece66f0-283f-4123-8a63-680f7bb5cb87/0_1.png")</f>
        <v/>
      </c>
      <c r="J22" s="11"/>
      <c r="K22" s="16" t="str">
        <f>IMAGE("https://cdn.midjourney.com/2f141dde-cfa3-42a1-bcbf-9ef5278ffea5/0_1.png")</f>
        <v/>
      </c>
    </row>
    <row r="23" ht="22.5" customHeight="1">
      <c r="A23" s="4"/>
      <c r="B23" s="5" t="s">
        <v>91</v>
      </c>
      <c r="C23" s="9" t="s">
        <v>64</v>
      </c>
      <c r="D23" s="7">
        <v>5.0</v>
      </c>
      <c r="E23" s="7">
        <v>6.0</v>
      </c>
      <c r="F23" s="7">
        <v>7.0</v>
      </c>
      <c r="G23" s="5" t="s">
        <v>92</v>
      </c>
      <c r="H23" s="10" t="s">
        <v>93</v>
      </c>
      <c r="I23" s="11"/>
      <c r="J23" s="11"/>
    </row>
    <row r="24" ht="22.5" customHeight="1">
      <c r="A24" s="4"/>
      <c r="B24" s="5" t="s">
        <v>94</v>
      </c>
      <c r="C24" s="9" t="s">
        <v>64</v>
      </c>
      <c r="D24" s="7">
        <v>5.0</v>
      </c>
      <c r="E24" s="7">
        <v>5.0</v>
      </c>
      <c r="F24" s="7">
        <v>9.0</v>
      </c>
      <c r="G24" s="5" t="s">
        <v>95</v>
      </c>
      <c r="H24" s="10" t="s">
        <v>96</v>
      </c>
      <c r="I24" s="11"/>
      <c r="J24" s="11"/>
    </row>
    <row r="25" ht="22.5" customHeight="1">
      <c r="A25" s="4"/>
      <c r="B25" s="5" t="s">
        <v>97</v>
      </c>
      <c r="C25" s="9" t="s">
        <v>64</v>
      </c>
      <c r="D25" s="7">
        <v>6.0</v>
      </c>
      <c r="E25" s="7">
        <v>7.0</v>
      </c>
      <c r="F25" s="7">
        <v>9.0</v>
      </c>
      <c r="G25" s="5" t="s">
        <v>98</v>
      </c>
      <c r="H25" s="10" t="s">
        <v>99</v>
      </c>
      <c r="I25" s="11"/>
      <c r="J25" s="11"/>
    </row>
    <row r="26" ht="22.5" customHeight="1">
      <c r="A26" s="4"/>
      <c r="B26" s="5" t="s">
        <v>100</v>
      </c>
      <c r="C26" s="9" t="s">
        <v>64</v>
      </c>
      <c r="D26" s="7">
        <v>6.0</v>
      </c>
      <c r="E26" s="7">
        <v>8.0</v>
      </c>
      <c r="F26" s="7">
        <v>10.0</v>
      </c>
      <c r="G26" s="5" t="s">
        <v>101</v>
      </c>
      <c r="H26" s="10" t="s">
        <v>102</v>
      </c>
      <c r="I26" s="11"/>
      <c r="J26" s="11"/>
    </row>
    <row r="27" ht="22.5" customHeight="1">
      <c r="A27" s="4" t="s">
        <v>103</v>
      </c>
      <c r="B27" s="5" t="s">
        <v>104</v>
      </c>
      <c r="C27" s="9" t="s">
        <v>105</v>
      </c>
      <c r="D27" s="7">
        <v>1.0</v>
      </c>
      <c r="E27" s="7">
        <v>3.0</v>
      </c>
      <c r="F27" s="7">
        <v>1.0</v>
      </c>
      <c r="G27" s="5" t="s">
        <v>106</v>
      </c>
      <c r="H27" s="10" t="s">
        <v>107</v>
      </c>
      <c r="I27" s="17"/>
      <c r="J27" s="18"/>
    </row>
    <row r="28" ht="22.5" customHeight="1">
      <c r="A28" s="4"/>
      <c r="B28" s="5" t="s">
        <v>108</v>
      </c>
      <c r="C28" s="9" t="s">
        <v>105</v>
      </c>
      <c r="D28" s="7">
        <v>1.0</v>
      </c>
      <c r="E28" s="7">
        <v>2.0</v>
      </c>
      <c r="F28" s="7">
        <v>2.0</v>
      </c>
      <c r="G28" s="5" t="s">
        <v>109</v>
      </c>
      <c r="H28" s="10" t="s">
        <v>110</v>
      </c>
      <c r="I28" s="11"/>
      <c r="J28" s="11"/>
    </row>
    <row r="29" ht="22.5" customHeight="1">
      <c r="A29" s="4"/>
      <c r="B29" s="5" t="s">
        <v>111</v>
      </c>
      <c r="C29" s="9" t="s">
        <v>105</v>
      </c>
      <c r="D29" s="7">
        <v>2.0</v>
      </c>
      <c r="E29" s="7">
        <v>4.0</v>
      </c>
      <c r="F29" s="7">
        <v>2.0</v>
      </c>
      <c r="G29" s="5" t="s">
        <v>112</v>
      </c>
      <c r="H29" s="10" t="s">
        <v>113</v>
      </c>
      <c r="I29" s="11"/>
      <c r="J29" s="11"/>
    </row>
    <row r="30" ht="88.5" customHeight="1">
      <c r="A30" s="4"/>
      <c r="B30" s="5" t="s">
        <v>114</v>
      </c>
      <c r="C30" s="9" t="s">
        <v>105</v>
      </c>
      <c r="D30" s="7">
        <v>2.0</v>
      </c>
      <c r="E30" s="7">
        <v>3.0</v>
      </c>
      <c r="F30" s="7">
        <v>3.0</v>
      </c>
      <c r="G30" s="5" t="s">
        <v>115</v>
      </c>
      <c r="H30" s="10" t="s">
        <v>116</v>
      </c>
      <c r="I30" s="11" t="str">
        <f>IMAGE("https://cdn.midjourney.com/147bd28e-6be9-47d4-b10a-9792089431c2/0_2.png")</f>
        <v/>
      </c>
      <c r="J30" s="11"/>
    </row>
    <row r="31" ht="138.0" customHeight="1">
      <c r="A31" s="4"/>
      <c r="B31" s="5" t="s">
        <v>117</v>
      </c>
      <c r="C31" s="9" t="s">
        <v>105</v>
      </c>
      <c r="D31" s="7">
        <v>3.0</v>
      </c>
      <c r="E31" s="7">
        <v>5.0</v>
      </c>
      <c r="F31" s="7">
        <v>3.0</v>
      </c>
      <c r="G31" s="5" t="s">
        <v>118</v>
      </c>
      <c r="H31" s="10" t="s">
        <v>119</v>
      </c>
      <c r="I31" s="11" t="str">
        <f>image("https://cdn.midjourney.com/ffa5a163-b380-462a-b533-e115ed4e1f11/0_2.png")</f>
        <v/>
      </c>
      <c r="J31" s="11"/>
    </row>
    <row r="32" ht="22.5" customHeight="1">
      <c r="A32" s="4"/>
      <c r="B32" s="5" t="s">
        <v>120</v>
      </c>
      <c r="C32" s="9" t="s">
        <v>105</v>
      </c>
      <c r="D32" s="7">
        <v>3.0</v>
      </c>
      <c r="E32" s="7">
        <v>4.0</v>
      </c>
      <c r="F32" s="7">
        <v>4.0</v>
      </c>
      <c r="G32" s="5" t="s">
        <v>121</v>
      </c>
      <c r="H32" s="10" t="s">
        <v>122</v>
      </c>
      <c r="I32" s="11"/>
      <c r="J32" s="11"/>
    </row>
    <row r="33" ht="22.5" customHeight="1">
      <c r="A33" s="4"/>
      <c r="B33" s="5" t="s">
        <v>123</v>
      </c>
      <c r="C33" s="9" t="s">
        <v>105</v>
      </c>
      <c r="D33" s="7">
        <v>4.0</v>
      </c>
      <c r="E33" s="7">
        <v>5.0</v>
      </c>
      <c r="F33" s="7">
        <v>5.0</v>
      </c>
      <c r="G33" s="5" t="s">
        <v>124</v>
      </c>
      <c r="H33" s="10" t="s">
        <v>125</v>
      </c>
      <c r="I33" s="11"/>
      <c r="J33" s="11"/>
    </row>
    <row r="34" ht="22.5" customHeight="1">
      <c r="A34" s="4"/>
      <c r="B34" s="5" t="s">
        <v>126</v>
      </c>
      <c r="C34" s="9" t="s">
        <v>105</v>
      </c>
      <c r="D34" s="7">
        <v>4.0</v>
      </c>
      <c r="E34" s="7">
        <v>6.0</v>
      </c>
      <c r="F34" s="7">
        <v>4.0</v>
      </c>
      <c r="G34" s="5" t="s">
        <v>127</v>
      </c>
      <c r="H34" s="10" t="s">
        <v>128</v>
      </c>
      <c r="I34" s="11"/>
      <c r="J34" s="11"/>
    </row>
    <row r="35" ht="22.5" customHeight="1">
      <c r="A35" s="4"/>
      <c r="B35" s="5" t="s">
        <v>129</v>
      </c>
      <c r="C35" s="9" t="s">
        <v>105</v>
      </c>
      <c r="D35" s="7">
        <v>5.0</v>
      </c>
      <c r="E35" s="7">
        <v>7.0</v>
      </c>
      <c r="F35" s="7">
        <v>5.0</v>
      </c>
      <c r="G35" s="5" t="s">
        <v>130</v>
      </c>
      <c r="H35" s="10" t="s">
        <v>131</v>
      </c>
      <c r="I35" s="11"/>
      <c r="J35" s="11"/>
    </row>
    <row r="36" ht="22.5" customHeight="1">
      <c r="A36" s="4"/>
      <c r="B36" s="5" t="s">
        <v>132</v>
      </c>
      <c r="C36" s="9" t="s">
        <v>105</v>
      </c>
      <c r="D36" s="7">
        <v>5.0</v>
      </c>
      <c r="E36" s="7">
        <v>6.0</v>
      </c>
      <c r="F36" s="7">
        <v>7.0</v>
      </c>
      <c r="G36" s="5" t="s">
        <v>133</v>
      </c>
      <c r="H36" s="10" t="s">
        <v>134</v>
      </c>
      <c r="I36" s="11"/>
      <c r="J36" s="11"/>
    </row>
    <row r="37" ht="22.5" customHeight="1">
      <c r="A37" s="4"/>
      <c r="B37" s="5" t="s">
        <v>135</v>
      </c>
      <c r="C37" s="9" t="s">
        <v>105</v>
      </c>
      <c r="D37" s="7">
        <v>6.0</v>
      </c>
      <c r="E37" s="7">
        <v>9.0</v>
      </c>
      <c r="F37" s="7">
        <v>6.0</v>
      </c>
      <c r="G37" s="5" t="s">
        <v>136</v>
      </c>
      <c r="H37" s="10" t="s">
        <v>137</v>
      </c>
      <c r="I37" s="11"/>
      <c r="J37" s="11"/>
    </row>
    <row r="38" ht="22.5" customHeight="1">
      <c r="A38" s="4"/>
      <c r="B38" s="5" t="s">
        <v>138</v>
      </c>
      <c r="C38" s="9" t="s">
        <v>105</v>
      </c>
      <c r="D38" s="7">
        <v>6.0</v>
      </c>
      <c r="E38" s="7">
        <v>8.0</v>
      </c>
      <c r="F38" s="7">
        <v>8.0</v>
      </c>
      <c r="G38" s="5" t="s">
        <v>139</v>
      </c>
      <c r="H38" s="10" t="s">
        <v>140</v>
      </c>
      <c r="I38" s="11"/>
      <c r="J38" s="11"/>
    </row>
    <row r="39" ht="22.5" customHeight="1">
      <c r="A39" s="4" t="s">
        <v>141</v>
      </c>
      <c r="B39" s="5" t="s">
        <v>142</v>
      </c>
      <c r="C39" s="9" t="s">
        <v>143</v>
      </c>
      <c r="D39" s="7">
        <v>1.0</v>
      </c>
      <c r="E39" s="7">
        <v>1.0</v>
      </c>
      <c r="F39" s="7">
        <v>4.0</v>
      </c>
      <c r="G39" s="5" t="s">
        <v>144</v>
      </c>
      <c r="H39" s="10" t="s">
        <v>145</v>
      </c>
      <c r="I39" s="11"/>
      <c r="J39" s="11"/>
    </row>
    <row r="40" ht="22.5" customHeight="1">
      <c r="A40" s="4"/>
      <c r="B40" s="5" t="s">
        <v>146</v>
      </c>
      <c r="C40" s="9" t="s">
        <v>143</v>
      </c>
      <c r="D40" s="7">
        <v>1.0</v>
      </c>
      <c r="E40" s="7">
        <v>1.0</v>
      </c>
      <c r="F40" s="7">
        <v>3.0</v>
      </c>
      <c r="G40" s="5" t="s">
        <v>147</v>
      </c>
      <c r="H40" s="10" t="s">
        <v>148</v>
      </c>
      <c r="I40" s="11"/>
      <c r="J40" s="11"/>
    </row>
    <row r="41" ht="22.5" customHeight="1">
      <c r="A41" s="4"/>
      <c r="B41" s="5" t="s">
        <v>149</v>
      </c>
      <c r="C41" s="9" t="s">
        <v>143</v>
      </c>
      <c r="D41" s="7">
        <v>2.0</v>
      </c>
      <c r="E41" s="7">
        <v>2.0</v>
      </c>
      <c r="F41" s="7">
        <v>5.0</v>
      </c>
      <c r="G41" s="5" t="s">
        <v>150</v>
      </c>
      <c r="H41" s="10" t="s">
        <v>151</v>
      </c>
      <c r="I41" s="11"/>
      <c r="J41" s="11"/>
    </row>
    <row r="42" ht="91.5" customHeight="1">
      <c r="A42" s="4"/>
      <c r="B42" s="5" t="s">
        <v>152</v>
      </c>
      <c r="C42" s="9" t="s">
        <v>143</v>
      </c>
      <c r="D42" s="7">
        <v>2.0</v>
      </c>
      <c r="E42" s="7">
        <v>2.0</v>
      </c>
      <c r="F42" s="7">
        <v>4.0</v>
      </c>
      <c r="G42" s="5" t="s">
        <v>153</v>
      </c>
      <c r="H42" s="10" t="s">
        <v>154</v>
      </c>
      <c r="I42" s="11" t="str">
        <f>image("https://cdn.midjourney.com/bdb0b52c-516b-4200-bf23-875daf99f81c/0_2.png")</f>
        <v/>
      </c>
      <c r="J42" s="11"/>
    </row>
    <row r="43" ht="78.75" customHeight="1">
      <c r="A43" s="4"/>
      <c r="B43" s="5" t="s">
        <v>155</v>
      </c>
      <c r="C43" s="9" t="s">
        <v>143</v>
      </c>
      <c r="D43" s="7">
        <v>3.0</v>
      </c>
      <c r="E43" s="7">
        <v>4.0</v>
      </c>
      <c r="F43" s="7">
        <v>6.0</v>
      </c>
      <c r="G43" s="5" t="s">
        <v>156</v>
      </c>
      <c r="H43" s="10" t="s">
        <v>157</v>
      </c>
      <c r="I43" s="11" t="str">
        <f>image("https://cdn.midjourney.com/78e79e32-e86f-429c-adf7-78ce294ca6ec/0_2.png")</f>
        <v/>
      </c>
      <c r="J43" s="11"/>
    </row>
    <row r="44" ht="22.5" customHeight="1">
      <c r="A44" s="4"/>
      <c r="B44" s="5" t="s">
        <v>158</v>
      </c>
      <c r="C44" s="9" t="s">
        <v>143</v>
      </c>
      <c r="D44" s="7">
        <v>3.0</v>
      </c>
      <c r="E44" s="7">
        <v>3.0</v>
      </c>
      <c r="F44" s="7">
        <v>5.0</v>
      </c>
      <c r="G44" s="5" t="s">
        <v>159</v>
      </c>
      <c r="H44" s="10" t="s">
        <v>160</v>
      </c>
      <c r="I44" s="11"/>
      <c r="J44" s="11"/>
    </row>
    <row r="45" ht="22.5" customHeight="1">
      <c r="A45" s="4"/>
      <c r="B45" s="5" t="s">
        <v>161</v>
      </c>
      <c r="C45" s="9" t="s">
        <v>143</v>
      </c>
      <c r="D45" s="7">
        <v>4.0</v>
      </c>
      <c r="E45" s="7">
        <v>4.0</v>
      </c>
      <c r="F45" s="7">
        <v>8.0</v>
      </c>
      <c r="G45" s="5" t="s">
        <v>162</v>
      </c>
      <c r="H45" s="10" t="s">
        <v>163</v>
      </c>
      <c r="I45" s="11"/>
      <c r="J45" s="11"/>
    </row>
    <row r="46" ht="22.5" customHeight="1">
      <c r="A46" s="4"/>
      <c r="B46" s="5" t="s">
        <v>164</v>
      </c>
      <c r="C46" s="9" t="s">
        <v>143</v>
      </c>
      <c r="D46" s="7">
        <v>4.0</v>
      </c>
      <c r="E46" s="7">
        <v>3.0</v>
      </c>
      <c r="F46" s="7">
        <v>9.0</v>
      </c>
      <c r="G46" s="5" t="s">
        <v>165</v>
      </c>
      <c r="H46" s="10" t="s">
        <v>166</v>
      </c>
      <c r="I46" s="11"/>
      <c r="J46" s="11"/>
    </row>
    <row r="47" ht="22.5" customHeight="1">
      <c r="A47" s="4"/>
      <c r="B47" s="5" t="s">
        <v>167</v>
      </c>
      <c r="C47" s="9" t="s">
        <v>143</v>
      </c>
      <c r="D47" s="7">
        <v>5.0</v>
      </c>
      <c r="E47" s="7">
        <v>5.0</v>
      </c>
      <c r="F47" s="7">
        <v>10.0</v>
      </c>
      <c r="G47" s="5" t="s">
        <v>168</v>
      </c>
      <c r="H47" s="10" t="s">
        <v>169</v>
      </c>
      <c r="I47" s="11"/>
      <c r="J47" s="11"/>
    </row>
    <row r="48" ht="22.5" customHeight="1">
      <c r="A48" s="4"/>
      <c r="B48" s="5" t="s">
        <v>170</v>
      </c>
      <c r="C48" s="9" t="s">
        <v>143</v>
      </c>
      <c r="D48" s="7">
        <v>5.0</v>
      </c>
      <c r="E48" s="7">
        <v>4.0</v>
      </c>
      <c r="F48" s="7">
        <v>11.0</v>
      </c>
      <c r="G48" s="5" t="s">
        <v>171</v>
      </c>
      <c r="H48" s="10" t="s">
        <v>172</v>
      </c>
      <c r="I48" s="11"/>
      <c r="J48" s="11"/>
    </row>
    <row r="49" ht="22.5" customHeight="1">
      <c r="A49" s="4"/>
      <c r="B49" s="5" t="s">
        <v>173</v>
      </c>
      <c r="C49" s="9" t="s">
        <v>143</v>
      </c>
      <c r="D49" s="7">
        <v>6.0</v>
      </c>
      <c r="E49" s="7">
        <v>7.0</v>
      </c>
      <c r="F49" s="7">
        <v>11.0</v>
      </c>
      <c r="G49" s="5" t="s">
        <v>174</v>
      </c>
      <c r="H49" s="10" t="s">
        <v>175</v>
      </c>
      <c r="I49" s="11"/>
      <c r="J49" s="11"/>
    </row>
    <row r="50" ht="22.5" customHeight="1">
      <c r="A50" s="4"/>
      <c r="B50" s="5" t="s">
        <v>176</v>
      </c>
      <c r="C50" s="9" t="s">
        <v>143</v>
      </c>
      <c r="D50" s="7">
        <v>6.0</v>
      </c>
      <c r="E50" s="7">
        <v>6.0</v>
      </c>
      <c r="F50" s="7">
        <v>12.0</v>
      </c>
      <c r="G50" s="5" t="s">
        <v>177</v>
      </c>
      <c r="H50" s="10" t="s">
        <v>178</v>
      </c>
      <c r="I50" s="11"/>
      <c r="J50" s="11"/>
    </row>
    <row r="51" ht="22.5" customHeight="1">
      <c r="A51" s="5" t="s">
        <v>179</v>
      </c>
      <c r="B51" s="19" t="s">
        <v>180</v>
      </c>
      <c r="C51" s="20" t="s">
        <v>181</v>
      </c>
      <c r="D51" s="21">
        <v>2.0</v>
      </c>
      <c r="E51" s="21">
        <v>3.0</v>
      </c>
      <c r="F51" s="21">
        <v>4.0</v>
      </c>
      <c r="G51" s="19" t="s">
        <v>182</v>
      </c>
      <c r="H51" s="19" t="s">
        <v>183</v>
      </c>
      <c r="I51" s="8"/>
      <c r="J51" s="8"/>
    </row>
    <row r="52" ht="22.5" customHeight="1">
      <c r="A52" s="22"/>
      <c r="B52" s="19" t="s">
        <v>184</v>
      </c>
      <c r="C52" s="20" t="s">
        <v>185</v>
      </c>
      <c r="D52" s="21">
        <v>3.0</v>
      </c>
      <c r="E52" s="21">
        <v>4.0</v>
      </c>
      <c r="F52" s="21">
        <v>4.0</v>
      </c>
      <c r="G52" s="19" t="s">
        <v>186</v>
      </c>
      <c r="H52" s="19" t="s">
        <v>187</v>
      </c>
      <c r="I52" s="8"/>
      <c r="J52" s="8"/>
    </row>
    <row r="53" ht="22.5" customHeight="1">
      <c r="A53" s="22"/>
      <c r="B53" s="19" t="s">
        <v>188</v>
      </c>
      <c r="C53" s="20" t="s">
        <v>189</v>
      </c>
      <c r="D53" s="21">
        <v>4.0</v>
      </c>
      <c r="E53" s="21">
        <v>5.0</v>
      </c>
      <c r="F53" s="21">
        <v>5.0</v>
      </c>
      <c r="G53" s="19" t="s">
        <v>190</v>
      </c>
      <c r="H53" s="19" t="s">
        <v>191</v>
      </c>
      <c r="I53" s="8"/>
      <c r="J53" s="8"/>
    </row>
    <row r="54" ht="22.5" customHeight="1">
      <c r="A54" s="22"/>
      <c r="B54" s="19" t="s">
        <v>192</v>
      </c>
      <c r="C54" s="20" t="s">
        <v>193</v>
      </c>
      <c r="D54" s="21">
        <v>5.0</v>
      </c>
      <c r="E54" s="21">
        <v>5.0</v>
      </c>
      <c r="F54" s="21">
        <v>8.0</v>
      </c>
      <c r="G54" s="19" t="s">
        <v>194</v>
      </c>
      <c r="H54" s="19" t="s">
        <v>195</v>
      </c>
      <c r="I54" s="8"/>
      <c r="J54" s="8"/>
    </row>
    <row r="55" ht="22.5" customHeight="1">
      <c r="A55" s="22"/>
      <c r="B55" s="19" t="s">
        <v>196</v>
      </c>
      <c r="C55" s="20" t="s">
        <v>197</v>
      </c>
      <c r="D55" s="21">
        <v>6.0</v>
      </c>
      <c r="E55" s="21">
        <v>9.0</v>
      </c>
      <c r="F55" s="21">
        <v>9.0</v>
      </c>
      <c r="G55" s="19" t="s">
        <v>198</v>
      </c>
      <c r="H55" s="19" t="s">
        <v>199</v>
      </c>
      <c r="I55" s="8"/>
      <c r="J55" s="8"/>
    </row>
    <row r="56" ht="22.5" customHeight="1">
      <c r="A56" s="22"/>
      <c r="B56" s="19" t="s">
        <v>200</v>
      </c>
      <c r="C56" s="20" t="s">
        <v>201</v>
      </c>
      <c r="D56" s="21">
        <v>1.0</v>
      </c>
      <c r="E56" s="21">
        <v>2.0</v>
      </c>
      <c r="F56" s="21">
        <v>2.0</v>
      </c>
      <c r="G56" s="19" t="s">
        <v>202</v>
      </c>
      <c r="H56" s="19" t="s">
        <v>203</v>
      </c>
      <c r="I56" s="8"/>
      <c r="J56" s="8"/>
    </row>
    <row r="57" ht="22.5" customHeight="1">
      <c r="A57" s="22"/>
      <c r="B57" s="19" t="s">
        <v>204</v>
      </c>
      <c r="C57" s="20" t="s">
        <v>201</v>
      </c>
      <c r="D57" s="21">
        <v>2.0</v>
      </c>
      <c r="E57" s="21">
        <v>3.0</v>
      </c>
      <c r="F57" s="21">
        <v>3.0</v>
      </c>
      <c r="G57" s="19" t="s">
        <v>205</v>
      </c>
      <c r="H57" s="19" t="s">
        <v>206</v>
      </c>
      <c r="I57" s="8"/>
      <c r="J57" s="8"/>
    </row>
    <row r="58" ht="22.5" customHeight="1">
      <c r="A58" s="22"/>
      <c r="B58" s="19" t="s">
        <v>207</v>
      </c>
      <c r="C58" s="20" t="s">
        <v>201</v>
      </c>
      <c r="D58" s="21">
        <v>3.0</v>
      </c>
      <c r="E58" s="21">
        <v>4.0</v>
      </c>
      <c r="F58" s="21">
        <v>4.0</v>
      </c>
      <c r="G58" s="19" t="s">
        <v>208</v>
      </c>
      <c r="H58" s="19" t="s">
        <v>209</v>
      </c>
      <c r="I58" s="8"/>
      <c r="J58" s="8"/>
    </row>
    <row r="59" ht="22.5" customHeight="1">
      <c r="A59" s="22"/>
      <c r="B59" s="19" t="s">
        <v>210</v>
      </c>
      <c r="C59" s="20" t="s">
        <v>201</v>
      </c>
      <c r="D59" s="21">
        <v>4.0</v>
      </c>
      <c r="E59" s="21">
        <v>4.0</v>
      </c>
      <c r="F59" s="21">
        <v>6.0</v>
      </c>
      <c r="G59" s="19" t="s">
        <v>211</v>
      </c>
      <c r="H59" s="19" t="s">
        <v>212</v>
      </c>
      <c r="I59" s="8"/>
      <c r="J59" s="8"/>
    </row>
    <row r="60" ht="22.5" customHeight="1">
      <c r="A60" s="22"/>
      <c r="B60" s="19" t="s">
        <v>213</v>
      </c>
      <c r="C60" s="20" t="s">
        <v>201</v>
      </c>
      <c r="D60" s="21">
        <v>5.0</v>
      </c>
      <c r="E60" s="21">
        <v>6.0</v>
      </c>
      <c r="F60" s="21">
        <v>6.0</v>
      </c>
      <c r="G60" s="19" t="s">
        <v>214</v>
      </c>
      <c r="H60" s="19" t="s">
        <v>215</v>
      </c>
      <c r="I60" s="8"/>
      <c r="J60" s="8"/>
    </row>
    <row r="61" ht="22.5" customHeight="1">
      <c r="A61" s="22"/>
      <c r="B61" s="19" t="s">
        <v>216</v>
      </c>
      <c r="C61" s="20" t="s">
        <v>201</v>
      </c>
      <c r="D61" s="21">
        <v>6.0</v>
      </c>
      <c r="E61" s="21">
        <v>8.0</v>
      </c>
      <c r="F61" s="21">
        <v>8.0</v>
      </c>
      <c r="G61" s="19" t="s">
        <v>217</v>
      </c>
      <c r="H61" s="19" t="s">
        <v>218</v>
      </c>
      <c r="I61" s="8"/>
      <c r="J61" s="8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</sheetData>
  <dataValidations>
    <dataValidation type="list" allowBlank="1" showDropDown="1" showErrorMessage="1" sqref="C2:C61">
      <formula1>"Wands,Cups,Swords,Pentacles"</formula1>
    </dataValidation>
    <dataValidation type="custom" allowBlank="1" showDropDown="1" sqref="D2:F61">
      <formula1>AND(ISNUMBER(D2),(NOT(OR(NOT(ISERROR(DATEVALUE(D2))), AND(ISNUMBER(D2), LEFT(CELL("format", D2))="D")))))</formula1>
    </dataValidation>
  </dataValidations>
  <hyperlinks>
    <hyperlink r:id="rId4" ref="K6"/>
    <hyperlink r:id="rId5" ref="K8"/>
    <hyperlink r:id="rId6" ref="K9"/>
    <hyperlink r:id="rId7" ref="K10"/>
    <hyperlink r:id="rId8" ref="K11"/>
    <hyperlink r:id="rId9" ref="L11"/>
    <hyperlink r:id="rId10" ref="K12"/>
    <hyperlink r:id="rId11" ref="L12"/>
    <hyperlink r:id="rId12" ref="K13"/>
    <hyperlink r:id="rId13" ref="K14"/>
    <hyperlink r:id="rId14" ref="K15"/>
    <hyperlink r:id="rId15" ref="K16"/>
    <hyperlink r:id="rId16" ref="K17"/>
  </hyperlinks>
  <drawing r:id="rId17"/>
  <legacy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24" t="s">
        <v>219</v>
      </c>
    </row>
    <row r="5">
      <c r="A5" s="25"/>
    </row>
    <row r="6">
      <c r="A6" s="24" t="s">
        <v>220</v>
      </c>
    </row>
    <row r="7">
      <c r="A7" s="25"/>
    </row>
    <row r="8">
      <c r="A8" s="24" t="s">
        <v>221</v>
      </c>
    </row>
    <row r="9">
      <c r="A9" s="25"/>
    </row>
    <row r="10">
      <c r="A10" s="24" t="s">
        <v>222</v>
      </c>
    </row>
  </sheetData>
  <drawing r:id="rId1"/>
</worksheet>
</file>